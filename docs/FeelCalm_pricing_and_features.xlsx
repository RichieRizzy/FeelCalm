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e card" sheetId="1" state="visible" r:id="rId3"/>
    <sheet name="Price calculator" sheetId="2" state="visible" r:id="rId4"/>
    <sheet name="Price matrix" sheetId="3" state="visible" r:id="rId5"/>
    <sheet name="Featur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<sst xmlns="http://schemas.openxmlformats.org/spreadsheetml/2006/main" count="204" uniqueCount="117">
  <si>
    <t xml:space="preserve">FeelCalm rate card (fixed prices, Naira)</t>
  </si>
  <si>
    <t xml:space="preserve">Blue cells are inputs. Every other sheet reads from here, so change a price once and it updates everywhere.</t>
  </si>
  <si>
    <t xml:space="preserve">Delivery price by distance</t>
  </si>
  <si>
    <t xml:space="preserve">Distance zone</t>
  </si>
  <si>
    <t xml:space="preserve">Range</t>
  </si>
  <si>
    <t xml:space="preserve">Standard (₦)</t>
  </si>
  <si>
    <t xml:space="preserve">Express (₦)</t>
  </si>
  <si>
    <t xml:space="preserve">Approx. km</t>
  </si>
  <si>
    <t xml:space="preserve">Standard ETA (min)</t>
  </si>
  <si>
    <t xml:space="preserve">Express ETA (min)</t>
  </si>
  <si>
    <t xml:space="preserve">Nearby</t>
  </si>
  <si>
    <t xml:space="preserve">Up to 5 km</t>
  </si>
  <si>
    <t xml:space="preserve">Across town</t>
  </si>
  <si>
    <t xml:space="preserve">5 to 15 km</t>
  </si>
  <si>
    <t xml:space="preserve">Far</t>
  </si>
  <si>
    <t xml:space="preserve">15 to 30 km</t>
  </si>
  <si>
    <t xml:space="preserve">Package size surcharge</t>
  </si>
  <si>
    <t xml:space="preserve">Package size</t>
  </si>
  <si>
    <t xml:space="preserve">Weight limit</t>
  </si>
  <si>
    <t xml:space="preserve">Surcharge (₦)</t>
  </si>
  <si>
    <t xml:space="preserve">Envelope</t>
  </si>
  <si>
    <t xml:space="preserve">Up to 1 kg</t>
  </si>
  <si>
    <t xml:space="preserve">Small box</t>
  </si>
  <si>
    <t xml:space="preserve">Up to 5 kg</t>
  </si>
  <si>
    <t xml:space="preserve">Large box</t>
  </si>
  <si>
    <t xml:space="preserve">Up to 15 kg</t>
  </si>
  <si>
    <t xml:space="preserve">Fixed fees and rider share</t>
  </si>
  <si>
    <t xml:space="preserve">Item</t>
  </si>
  <si>
    <t xml:space="preserve">Value</t>
  </si>
  <si>
    <t xml:space="preserve">Note</t>
  </si>
  <si>
    <t xml:space="preserve">Service fee (per delivery)</t>
  </si>
  <si>
    <t xml:space="preserve">Added to every delivery</t>
  </si>
  <si>
    <t xml:space="preserve">Parcel protection (optional)</t>
  </si>
  <si>
    <t xml:space="preserve">Covers loss or damage up to ₦50,000</t>
  </si>
  <si>
    <t xml:space="preserve">Rider share</t>
  </si>
  <si>
    <t xml:space="preserve">Share of delivery price plus size surcharge paid to the rider. Fees and protection are excluded.</t>
  </si>
  <si>
    <t xml:space="preserve">Assumption: these prices are placeholder rates chosen for the FeelCalm prototype for Lagos. Replace them with your own before launch.</t>
  </si>
  <si>
    <t xml:space="preserve">Price calculator</t>
  </si>
  <si>
    <t xml:space="preserve">Yellow cells are the inputs: pick a value from each dropdown. Everything below recalculates.</t>
  </si>
  <si>
    <t xml:space="preserve">Your choices</t>
  </si>
  <si>
    <t xml:space="preserve">Speed</t>
  </si>
  <si>
    <t xml:space="preserve">Standard</t>
  </si>
  <si>
    <t xml:space="preserve">Parcel protection</t>
  </si>
  <si>
    <t xml:space="preserve">No</t>
  </si>
  <si>
    <t xml:space="preserve">Price breakdown</t>
  </si>
  <si>
    <t xml:space="preserve">Amount (₦)</t>
  </si>
  <si>
    <t xml:space="preserve">Delivery price</t>
  </si>
  <si>
    <t xml:space="preserve">Service fee</t>
  </si>
  <si>
    <t xml:space="preserve">Total to pay</t>
  </si>
  <si>
    <t xml:space="preserve">Split and timing</t>
  </si>
  <si>
    <t xml:space="preserve">Rider payout</t>
  </si>
  <si>
    <t xml:space="preserve">FeelCalm keeps</t>
  </si>
  <si>
    <t xml:space="preserve">Estimated delivery time (min)</t>
  </si>
  <si>
    <t xml:space="preserve">Approx. distance (km)</t>
  </si>
  <si>
    <t xml:space="preserve">Check: Across town, Standard, Small box, no protection = ₦3,850 total, ₦2,880 to the rider.</t>
  </si>
  <si>
    <t xml:space="preserve">Every fixed price (without optional protection)</t>
  </si>
  <si>
    <t xml:space="preserve">All figures are formulas that read the Rate card. Add ₦500 for parcel protection.</t>
  </si>
  <si>
    <t xml:space="preserve">Delivery (₦)</t>
  </si>
  <si>
    <t xml:space="preserve">Size surcharge (₦)</t>
  </si>
  <si>
    <t xml:space="preserve">Service fee (₦)</t>
  </si>
  <si>
    <t xml:space="preserve">Total (₦)</t>
  </si>
  <si>
    <t xml:space="preserve">Rider payout (₦)</t>
  </si>
  <si>
    <t xml:space="preserve">Express</t>
  </si>
  <si>
    <t xml:space="preserve">FeelCalm app features</t>
  </si>
  <si>
    <t xml:space="preserve">What is in the prototype today. Live locations are simulated until a backend and phone GPS are connected.</t>
  </si>
  <si>
    <t xml:space="preserve">App</t>
  </si>
  <si>
    <t xml:space="preserve">Feature</t>
  </si>
  <si>
    <t xml:space="preserve">What it does</t>
  </si>
  <si>
    <t xml:space="preserve">Customer</t>
  </si>
  <si>
    <t xml:space="preserve">Sign-up</t>
  </si>
  <si>
    <t xml:space="preserve">Name, phone and delivery address.</t>
  </si>
  <si>
    <t xml:space="preserve">Send a parcel</t>
  </si>
  <si>
    <t xml:space="preserve">Item, pickup, delivery address, receiver name and phone, distance, size, speed, payment method and a note for the rider.</t>
  </si>
  <si>
    <t xml:space="preserve">Fixed pricing</t>
  </si>
  <si>
    <t xml:space="preserve">Full price breakdown shown before booking. No surge pricing.</t>
  </si>
  <si>
    <t xml:space="preserve">Payment choice</t>
  </si>
  <si>
    <t xml:space="preserve">Card, bank transfer or cash to the rider.</t>
  </si>
  <si>
    <t xml:space="preserve">Optional cover for loss or damage up to ₦50,000 (+₦500).</t>
  </si>
  <si>
    <t xml:space="preserve">Live map</t>
  </si>
  <si>
    <t xml:space="preserve">Rider, receiver and pickup point on the map, with ETA and distance left.</t>
  </si>
  <si>
    <t xml:space="preserve">Delivery PIN</t>
  </si>
  <si>
    <t xml:space="preserve">A 4-digit code the receiver gives the rider at handover.</t>
  </si>
  <si>
    <t xml:space="preserve">Chat and call</t>
  </si>
  <si>
    <t xml:space="preserve">Message the rider in-app and call them on the number they entered.</t>
  </si>
  <si>
    <t xml:space="preserve">Receipt and timeline</t>
  </si>
  <si>
    <t xml:space="preserve">Five-step tracking history and an itemised receipt.</t>
  </si>
  <si>
    <t xml:space="preserve">Share trip and Safety</t>
  </si>
  <si>
    <t xml:space="preserve">Copy a live trip link, or open the safety sheet with the 112 emergency line.</t>
  </si>
  <si>
    <t xml:space="preserve">Location sharing</t>
  </si>
  <si>
    <t xml:space="preserve">Turn the receiver's live location on or off.</t>
  </si>
  <si>
    <t xml:space="preserve">Cancel</t>
  </si>
  <si>
    <t xml:space="preserve">Free cancellation before pickup.</t>
  </si>
  <si>
    <t xml:space="preserve">Rating and tip</t>
  </si>
  <si>
    <t xml:space="preserve">Rate the rider 1 to 5 stars and add a tip.</t>
  </si>
  <si>
    <t xml:space="preserve">History</t>
  </si>
  <si>
    <t xml:space="preserve">Completed deliveries with totals.</t>
  </si>
  <si>
    <t xml:space="preserve">Calm mode</t>
  </si>
  <si>
    <t xml:space="preserve">Only pickup, arrival and delivery alerts.</t>
  </si>
  <si>
    <t xml:space="preserve">Rider</t>
  </si>
  <si>
    <t xml:space="preserve">Name, call number, vehicle (motorbike, bicycle or car) and plate number.</t>
  </si>
  <si>
    <t xml:space="preserve">Call number</t>
  </si>
  <si>
    <t xml:space="preserve">The number customers and receivers call. Editable in Profile.</t>
  </si>
  <si>
    <t xml:space="preserve">Online / offline</t>
  </si>
  <si>
    <t xml:space="preserve">Choose when to receive delivery requests.</t>
  </si>
  <si>
    <t xml:space="preserve">Request card</t>
  </si>
  <si>
    <t xml:space="preserve">Pickup, drop-off, distance and payout shown before accepting.</t>
  </si>
  <si>
    <t xml:space="preserve">Live navigation</t>
  </si>
  <si>
    <t xml:space="preserve">Route map with the receiver's live location.</t>
  </si>
  <si>
    <t xml:space="preserve">Call and message</t>
  </si>
  <si>
    <t xml:space="preserve">Call the sender or receiver, and chat with the receiver.</t>
  </si>
  <si>
    <t xml:space="preserve">PIN handover</t>
  </si>
  <si>
    <t xml:space="preserve">Enter the receiver's PIN to complete the delivery.</t>
  </si>
  <si>
    <t xml:space="preserve">Earnings</t>
  </si>
  <si>
    <t xml:space="preserve">Today's total, trips and tips. Rider keeps 80% of delivery plus size charges.</t>
  </si>
  <si>
    <t xml:space="preserve">Both</t>
  </si>
  <si>
    <t xml:space="preserve">Role switch</t>
  </si>
  <si>
    <t xml:space="preserve">Switch between the customer and rider apps from Profile.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</si>
</sst>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₦#,##0;&quot;(₦&quot;#,##0\);\-"/>
    <numFmt numFmtId="166" formatCode="0%"/>
    <numFmt numFmtId="16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9"/>
      <color rgb="FF6B6B7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0B0C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4F4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7E7EA"/>
      </left>
      <right style="thin">
        <color rgb="FFE7E7EA"/>
      </right>
      <top style="thin">
        <color rgb="FFE7E7EA"/>
      </top>
      <bottom style="thin">
        <color rgb="FFE7E7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4F5"/>
      <rgbColor rgb="FFE7E7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72"/>
      <rgbColor rgb="FF969696"/>
      <rgbColor rgb="FF003366"/>
      <rgbColor rgb="FF339966"/>
      <rgbColor rgb="FF0B0B0C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12"/>
    <col collapsed="false" customWidth="true" hidden="false" outlineLevel="0" max="7" min="6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s">
        <v>10</v>
      </c>
      <c r="B6" s="5" t="s">
        <v>11</v>
      </c>
      <c r="C6" s="6" t="n">
        <v>1800</v>
      </c>
      <c r="D6" s="6" t="n">
        <v>2800</v>
      </c>
      <c r="E6" s="7" t="n">
        <v>4</v>
      </c>
      <c r="F6" s="7" t="n">
        <v>35</v>
      </c>
      <c r="G6" s="7" t="n">
        <v>20</v>
      </c>
    </row>
    <row r="7" customFormat="false" ht="15" hidden="false" customHeight="false" outlineLevel="0" collapsed="false">
      <c r="A7" s="5" t="s">
        <v>12</v>
      </c>
      <c r="B7" s="5" t="s">
        <v>13</v>
      </c>
      <c r="C7" s="6" t="n">
        <v>3000</v>
      </c>
      <c r="D7" s="6" t="n">
        <v>4600</v>
      </c>
      <c r="E7" s="7" t="n">
        <v>10</v>
      </c>
      <c r="F7" s="7" t="n">
        <v>60</v>
      </c>
      <c r="G7" s="7" t="n">
        <v>35</v>
      </c>
    </row>
    <row r="8" customFormat="false" ht="15" hidden="false" customHeight="false" outlineLevel="0" collapsed="false">
      <c r="A8" s="5" t="s">
        <v>14</v>
      </c>
      <c r="B8" s="5" t="s">
        <v>15</v>
      </c>
      <c r="C8" s="6" t="n">
        <v>4800</v>
      </c>
      <c r="D8" s="6" t="n">
        <v>7200</v>
      </c>
      <c r="E8" s="7" t="n">
        <v>22</v>
      </c>
      <c r="F8" s="7" t="n">
        <v>100</v>
      </c>
      <c r="G8" s="7" t="n">
        <v>60</v>
      </c>
    </row>
    <row r="11" customFormat="false" ht="15" hidden="false" customHeight="false" outlineLevel="0" collapsed="false">
      <c r="A11" s="3" t="s">
        <v>16</v>
      </c>
    </row>
    <row r="12" customFormat="false" ht="15" hidden="false" customHeight="false" outlineLevel="0" collapsed="false">
      <c r="A12" s="4" t="s">
        <v>17</v>
      </c>
      <c r="B12" s="4" t="s">
        <v>18</v>
      </c>
      <c r="C12" s="4" t="s">
        <v>19</v>
      </c>
    </row>
    <row r="13" customFormat="false" ht="15" hidden="false" customHeight="false" outlineLevel="0" collapsed="false">
      <c r="A13" s="5" t="s">
        <v>20</v>
      </c>
      <c r="B13" s="5" t="s">
        <v>21</v>
      </c>
      <c r="C13" s="6" t="n">
        <v>0</v>
      </c>
    </row>
    <row r="14" customFormat="false" ht="15" hidden="false" customHeight="false" outlineLevel="0" collapsed="false">
      <c r="A14" s="5" t="s">
        <v>22</v>
      </c>
      <c r="B14" s="5" t="s">
        <v>23</v>
      </c>
      <c r="C14" s="6" t="n">
        <v>600</v>
      </c>
    </row>
    <row r="15" customFormat="false" ht="15" hidden="false" customHeight="false" outlineLevel="0" collapsed="false">
      <c r="A15" s="5" t="s">
        <v>24</v>
      </c>
      <c r="B15" s="5" t="s">
        <v>25</v>
      </c>
      <c r="C15" s="6" t="n">
        <v>1600</v>
      </c>
    </row>
    <row r="18" customFormat="false" ht="15" hidden="false" customHeight="false" outlineLevel="0" collapsed="false">
      <c r="A18" s="3" t="s">
        <v>26</v>
      </c>
    </row>
    <row r="19" customFormat="false" ht="15" hidden="false" customHeight="false" outlineLevel="0" collapsed="false">
      <c r="A19" s="4" t="s">
        <v>27</v>
      </c>
      <c r="B19" s="4" t="s">
        <v>28</v>
      </c>
      <c r="C19" s="4" t="s">
        <v>29</v>
      </c>
    </row>
    <row r="20" customFormat="false" ht="15" hidden="false" customHeight="false" outlineLevel="0" collapsed="false">
      <c r="A20" s="5" t="s">
        <v>30</v>
      </c>
      <c r="B20" s="6" t="n">
        <v>250</v>
      </c>
      <c r="C20" s="5" t="s">
        <v>31</v>
      </c>
    </row>
    <row r="21" customFormat="false" ht="15" hidden="false" customHeight="false" outlineLevel="0" collapsed="false">
      <c r="A21" s="5" t="s">
        <v>32</v>
      </c>
      <c r="B21" s="6" t="n">
        <v>500</v>
      </c>
      <c r="C21" s="5" t="s">
        <v>33</v>
      </c>
    </row>
    <row r="22" customFormat="false" ht="15" hidden="false" customHeight="false" outlineLevel="0" collapsed="false">
      <c r="A22" s="5" t="s">
        <v>34</v>
      </c>
      <c r="B22" s="8" t="n">
        <v>0.8</v>
      </c>
      <c r="C22" s="5" t="s">
        <v>35</v>
      </c>
    </row>
    <row r="24" customFormat="false" ht="15" hidden="false" customHeight="false" outlineLevel="0" collapsed="false">
      <c r="A24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15" hidden="false" customHeight="false" outlineLevel="0" collapsed="false">
      <c r="A4" s="4" t="s">
        <v>39</v>
      </c>
      <c r="B4" s="4" t="s">
        <v>28</v>
      </c>
    </row>
    <row r="5" customFormat="false" ht="15" hidden="false" customHeight="false" outlineLevel="0" collapsed="false">
      <c r="A5" s="5" t="s">
        <v>3</v>
      </c>
      <c r="B5" s="9" t="s">
        <v>12</v>
      </c>
    </row>
    <row r="6" customFormat="false" ht="15" hidden="false" customHeight="false" outlineLevel="0" collapsed="false">
      <c r="A6" s="5" t="s">
        <v>40</v>
      </c>
      <c r="B6" s="9" t="s">
        <v>41</v>
      </c>
    </row>
    <row r="7" customFormat="false" ht="15" hidden="false" customHeight="false" outlineLevel="0" collapsed="false">
      <c r="A7" s="5" t="s">
        <v>17</v>
      </c>
      <c r="B7" s="9" t="s">
        <v>22</v>
      </c>
    </row>
    <row r="8" customFormat="false" ht="15" hidden="false" customHeight="false" outlineLevel="0" collapsed="false">
      <c r="A8" s="5" t="s">
        <v>42</v>
      </c>
      <c r="B8" s="9" t="s">
        <v>43</v>
      </c>
    </row>
    <row r="10" customFormat="false" ht="15" hidden="false" customHeight="false" outlineLevel="0" collapsed="false">
      <c r="A10" s="4" t="s">
        <v>44</v>
      </c>
      <c r="B10" s="4" t="s">
        <v>45</v>
      </c>
    </row>
    <row r="11" customFormat="false" ht="15" hidden="false" customHeight="false" outlineLevel="0" collapsed="false">
      <c r="A11" s="5" t="s">
        <v>46</v>
      </c>
      <c r="B11" s="10" t="n">
        <f aca="false">IF($B$6="Express",INDEX('Rate card'!$D$6:$D$8,MATCH($B$5,'Rate card'!$A$6:$A$8,0)),INDEX('Rate card'!$C$6:$C$8,MATCH($B$5,'Rate card'!$A$6:$A$8,0)))</f>
        <v>3000</v>
      </c>
    </row>
    <row r="12" customFormat="false" ht="15" hidden="false" customHeight="false" outlineLevel="0" collapsed="false">
      <c r="A12" s="5" t="s">
        <v>16</v>
      </c>
      <c r="B12" s="10" t="n">
        <f aca="false">INDEX('Rate card'!$C$13:$C$15,MATCH($B$7,'Rate card'!$A$13:$A$15,0))</f>
        <v>600</v>
      </c>
    </row>
    <row r="13" customFormat="false" ht="15" hidden="false" customHeight="false" outlineLevel="0" collapsed="false">
      <c r="A13" s="5" t="s">
        <v>47</v>
      </c>
      <c r="B13" s="10" t="n">
        <f aca="false">'Rate card'!$B$20</f>
        <v>250</v>
      </c>
    </row>
    <row r="14" customFormat="false" ht="15" hidden="false" customHeight="false" outlineLevel="0" collapsed="false">
      <c r="A14" s="5" t="s">
        <v>42</v>
      </c>
      <c r="B14" s="10" t="n">
        <f aca="false">IF($B$8="Yes",'Rate card'!$B$21,0)</f>
        <v>0</v>
      </c>
    </row>
    <row r="15" customFormat="false" ht="15" hidden="false" customHeight="false" outlineLevel="0" collapsed="false">
      <c r="A15" s="11" t="s">
        <v>48</v>
      </c>
      <c r="B15" s="12" t="n">
        <f aca="false">SUM(B11:B14)</f>
        <v>3850</v>
      </c>
    </row>
    <row r="17" customFormat="false" ht="15" hidden="false" customHeight="false" outlineLevel="0" collapsed="false">
      <c r="A17" s="4" t="s">
        <v>49</v>
      </c>
      <c r="B17" s="4" t="s">
        <v>28</v>
      </c>
    </row>
    <row r="18" customFormat="false" ht="15" hidden="false" customHeight="false" outlineLevel="0" collapsed="false">
      <c r="A18" s="5" t="s">
        <v>50</v>
      </c>
      <c r="B18" s="10" t="n">
        <f aca="false">ROUND((B11+B12)*'Rate card'!$B$22,0)</f>
        <v>2880</v>
      </c>
    </row>
    <row r="19" customFormat="false" ht="15" hidden="false" customHeight="false" outlineLevel="0" collapsed="false">
      <c r="A19" s="5" t="s">
        <v>51</v>
      </c>
      <c r="B19" s="10" t="n">
        <f aca="false">B15-B18</f>
        <v>970</v>
      </c>
    </row>
    <row r="20" customFormat="false" ht="15" hidden="false" customHeight="false" outlineLevel="0" collapsed="false">
      <c r="A20" s="5" t="s">
        <v>52</v>
      </c>
      <c r="B20" s="13" t="n">
        <f aca="false">IF($B$6="Express",INDEX('Rate card'!$G$6:$G$8,MATCH($B$5,'Rate card'!$A$6:$A$8,0)),INDEX('Rate card'!$F$6:$F$8,MATCH($B$5,'Rate card'!$A$6:$A$8,0)))</f>
        <v>60</v>
      </c>
    </row>
    <row r="21" customFormat="false" ht="15" hidden="false" customHeight="false" outlineLevel="0" collapsed="false">
      <c r="A21" s="5" t="s">
        <v>53</v>
      </c>
      <c r="B21" s="13" t="n">
        <f aca="false">INDEX('Rate card'!$E$6:$E$8,MATCH($B$5,'Rate card'!$A$6:$A$8,0))</f>
        <v>10</v>
      </c>
    </row>
    <row r="23" customFormat="false" ht="15" hidden="false" customHeight="false" outlineLevel="0" collapsed="false">
      <c r="A23" s="2" t="s">
        <v>54</v>
      </c>
    </row>
  </sheetData>
  <dataValidations count="4">
    <dataValidation allowBlank="false" errorStyle="stop" operator="between" showDropDown="false" showErrorMessage="false" showInputMessage="false" sqref="B5" type="list">
      <formula1>'Rate card'!$A$6:$A$8</formula1>
      <formula2>0</formula2>
    </dataValidation>
    <dataValidation allowBlank="false" errorStyle="stop" operator="between" showDropDown="false" showErrorMessage="false" showInputMessage="false" sqref="B6" type="list">
      <formula1>"Standard,Express"</formula1>
      <formula2>0</formula2>
    </dataValidation>
    <dataValidation allowBlank="false" errorStyle="stop" operator="between" showDropDown="false" showErrorMessage="false" showInputMessage="false" sqref="B7" type="list">
      <formula1>'Rate card'!$A$13:$A$15</formula1>
      <formula2>0</formula2>
    </dataValidation>
    <dataValidation allowBlank="false" errorStyle="stop" operator="between" showDropDown="false" showErrorMessage="false" showInputMessage="false" sqref="B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19.7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4" customFormat="false" ht="15" hidden="false" customHeight="false" outlineLevel="0" collapsed="false">
      <c r="A4" s="4" t="s">
        <v>3</v>
      </c>
      <c r="B4" s="4" t="s">
        <v>40</v>
      </c>
      <c r="C4" s="4" t="s">
        <v>17</v>
      </c>
      <c r="D4" s="4" t="s">
        <v>57</v>
      </c>
      <c r="E4" s="4" t="s">
        <v>58</v>
      </c>
      <c r="F4" s="4" t="s">
        <v>59</v>
      </c>
      <c r="G4" s="4" t="s">
        <v>60</v>
      </c>
      <c r="H4" s="4" t="s">
        <v>61</v>
      </c>
    </row>
    <row r="5" customFormat="false" ht="15" hidden="false" customHeight="false" outlineLevel="0" collapsed="false">
      <c r="A5" s="5" t="s">
        <v>10</v>
      </c>
      <c r="B5" s="5" t="s">
        <v>41</v>
      </c>
      <c r="C5" s="5" t="s">
        <v>20</v>
      </c>
      <c r="D5" s="10" t="n">
        <f aca="false">IF($B5="Express",INDEX('Rate card'!$D$6:$D$8,MATCH($A5,'Rate card'!$A$6:$A$8,0)),INDEX('Rate card'!$C$6:$C$8,MATCH($A5,'Rate card'!$A$6:$A$8,0)))</f>
        <v>1800</v>
      </c>
      <c r="E5" s="10" t="n">
        <f aca="false">INDEX('Rate card'!$C$13:$C$15,MATCH($C5,'Rate card'!$A$13:$A$15,0))</f>
        <v>0</v>
      </c>
      <c r="F5" s="10" t="n">
        <f aca="false">'Rate card'!$B$20</f>
        <v>250</v>
      </c>
      <c r="G5" s="14" t="n">
        <f aca="false">SUM(D5:F5)</f>
        <v>2050</v>
      </c>
      <c r="H5" s="10" t="n">
        <f aca="false">ROUND((D5+E5)*'Rate card'!$B$22,0)</f>
        <v>1440</v>
      </c>
    </row>
    <row r="6" customFormat="false" ht="15" hidden="false" customHeight="false" outlineLevel="0" collapsed="false">
      <c r="A6" s="5" t="s">
        <v>10</v>
      </c>
      <c r="B6" s="5" t="s">
        <v>41</v>
      </c>
      <c r="C6" s="5" t="s">
        <v>22</v>
      </c>
      <c r="D6" s="10" t="n">
        <f aca="false">IF($B6="Express",INDEX('Rate card'!$D$6:$D$8,MATCH($A6,'Rate card'!$A$6:$A$8,0)),INDEX('Rate card'!$C$6:$C$8,MATCH($A6,'Rate card'!$A$6:$A$8,0)))</f>
        <v>1800</v>
      </c>
      <c r="E6" s="10" t="n">
        <f aca="false">INDEX('Rate card'!$C$13:$C$15,MATCH($C6,'Rate card'!$A$13:$A$15,0))</f>
        <v>600</v>
      </c>
      <c r="F6" s="10" t="n">
        <f aca="false">'Rate card'!$B$20</f>
        <v>250</v>
      </c>
      <c r="G6" s="14" t="n">
        <f aca="false">SUM(D6:F6)</f>
        <v>2650</v>
      </c>
      <c r="H6" s="10" t="n">
        <f aca="false">ROUND((D6+E6)*'Rate card'!$B$22,0)</f>
        <v>1920</v>
      </c>
    </row>
    <row r="7" customFormat="false" ht="15" hidden="false" customHeight="false" outlineLevel="0" collapsed="false">
      <c r="A7" s="5" t="s">
        <v>10</v>
      </c>
      <c r="B7" s="5" t="s">
        <v>41</v>
      </c>
      <c r="C7" s="5" t="s">
        <v>24</v>
      </c>
      <c r="D7" s="10" t="n">
        <f aca="false">IF($B7="Express",INDEX('Rate card'!$D$6:$D$8,MATCH($A7,'Rate card'!$A$6:$A$8,0)),INDEX('Rate card'!$C$6:$C$8,MATCH($A7,'Rate card'!$A$6:$A$8,0)))</f>
        <v>1800</v>
      </c>
      <c r="E7" s="10" t="n">
        <f aca="false">INDEX('Rate card'!$C$13:$C$15,MATCH($C7,'Rate card'!$A$13:$A$15,0))</f>
        <v>1600</v>
      </c>
      <c r="F7" s="10" t="n">
        <f aca="false">'Rate card'!$B$20</f>
        <v>250</v>
      </c>
      <c r="G7" s="14" t="n">
        <f aca="false">SUM(D7:F7)</f>
        <v>3650</v>
      </c>
      <c r="H7" s="10" t="n">
        <f aca="false">ROUND((D7+E7)*'Rate card'!$B$22,0)</f>
        <v>2720</v>
      </c>
    </row>
    <row r="8" customFormat="false" ht="15" hidden="false" customHeight="false" outlineLevel="0" collapsed="false">
      <c r="A8" s="5" t="s">
        <v>10</v>
      </c>
      <c r="B8" s="5" t="s">
        <v>62</v>
      </c>
      <c r="C8" s="5" t="s">
        <v>20</v>
      </c>
      <c r="D8" s="10" t="n">
        <f aca="false">IF($B8="Express",INDEX('Rate card'!$D$6:$D$8,MATCH($A8,'Rate card'!$A$6:$A$8,0)),INDEX('Rate card'!$C$6:$C$8,MATCH($A8,'Rate card'!$A$6:$A$8,0)))</f>
        <v>2800</v>
      </c>
      <c r="E8" s="10" t="n">
        <f aca="false">INDEX('Rate card'!$C$13:$C$15,MATCH($C8,'Rate card'!$A$13:$A$15,0))</f>
        <v>0</v>
      </c>
      <c r="F8" s="10" t="n">
        <f aca="false">'Rate card'!$B$20</f>
        <v>250</v>
      </c>
      <c r="G8" s="14" t="n">
        <f aca="false">SUM(D8:F8)</f>
        <v>3050</v>
      </c>
      <c r="H8" s="10" t="n">
        <f aca="false">ROUND((D8+E8)*'Rate card'!$B$22,0)</f>
        <v>2240</v>
      </c>
    </row>
    <row r="9" customFormat="false" ht="15" hidden="false" customHeight="false" outlineLevel="0" collapsed="false">
      <c r="A9" s="5" t="s">
        <v>10</v>
      </c>
      <c r="B9" s="5" t="s">
        <v>62</v>
      </c>
      <c r="C9" s="5" t="s">
        <v>22</v>
      </c>
      <c r="D9" s="10" t="n">
        <f aca="false">IF($B9="Express",INDEX('Rate card'!$D$6:$D$8,MATCH($A9,'Rate card'!$A$6:$A$8,0)),INDEX('Rate card'!$C$6:$C$8,MATCH($A9,'Rate card'!$A$6:$A$8,0)))</f>
        <v>2800</v>
      </c>
      <c r="E9" s="10" t="n">
        <f aca="false">INDEX('Rate card'!$C$13:$C$15,MATCH($C9,'Rate card'!$A$13:$A$15,0))</f>
        <v>600</v>
      </c>
      <c r="F9" s="10" t="n">
        <f aca="false">'Rate card'!$B$20</f>
        <v>250</v>
      </c>
      <c r="G9" s="14" t="n">
        <f aca="false">SUM(D9:F9)</f>
        <v>3650</v>
      </c>
      <c r="H9" s="10" t="n">
        <f aca="false">ROUND((D9+E9)*'Rate card'!$B$22,0)</f>
        <v>2720</v>
      </c>
    </row>
    <row r="10" customFormat="false" ht="15" hidden="false" customHeight="false" outlineLevel="0" collapsed="false">
      <c r="A10" s="5" t="s">
        <v>10</v>
      </c>
      <c r="B10" s="5" t="s">
        <v>62</v>
      </c>
      <c r="C10" s="5" t="s">
        <v>24</v>
      </c>
      <c r="D10" s="10" t="n">
        <f aca="false">IF($B10="Express",INDEX('Rate card'!$D$6:$D$8,MATCH($A10,'Rate card'!$A$6:$A$8,0)),INDEX('Rate card'!$C$6:$C$8,MATCH($A10,'Rate card'!$A$6:$A$8,0)))</f>
        <v>2800</v>
      </c>
      <c r="E10" s="10" t="n">
        <f aca="false">INDEX('Rate card'!$C$13:$C$15,MATCH($C10,'Rate card'!$A$13:$A$15,0))</f>
        <v>1600</v>
      </c>
      <c r="F10" s="10" t="n">
        <f aca="false">'Rate card'!$B$20</f>
        <v>250</v>
      </c>
      <c r="G10" s="14" t="n">
        <f aca="false">SUM(D10:F10)</f>
        <v>4650</v>
      </c>
      <c r="H10" s="10" t="n">
        <f aca="false">ROUND((D10+E10)*'Rate card'!$B$22,0)</f>
        <v>3520</v>
      </c>
    </row>
    <row r="11" customFormat="false" ht="15" hidden="false" customHeight="false" outlineLevel="0" collapsed="false">
      <c r="A11" s="5" t="s">
        <v>12</v>
      </c>
      <c r="B11" s="5" t="s">
        <v>41</v>
      </c>
      <c r="C11" s="5" t="s">
        <v>20</v>
      </c>
      <c r="D11" s="10" t="n">
        <f aca="false">IF($B11="Express",INDEX('Rate card'!$D$6:$D$8,MATCH($A11,'Rate card'!$A$6:$A$8,0)),INDEX('Rate card'!$C$6:$C$8,MATCH($A11,'Rate card'!$A$6:$A$8,0)))</f>
        <v>3000</v>
      </c>
      <c r="E11" s="10" t="n">
        <f aca="false">INDEX('Rate card'!$C$13:$C$15,MATCH($C11,'Rate card'!$A$13:$A$15,0))</f>
        <v>0</v>
      </c>
      <c r="F11" s="10" t="n">
        <f aca="false">'Rate card'!$B$20</f>
        <v>250</v>
      </c>
      <c r="G11" s="14" t="n">
        <f aca="false">SUM(D11:F11)</f>
        <v>3250</v>
      </c>
      <c r="H11" s="10" t="n">
        <f aca="false">ROUND((D11+E11)*'Rate card'!$B$22,0)</f>
        <v>2400</v>
      </c>
    </row>
    <row r="12" customFormat="false" ht="15" hidden="false" customHeight="false" outlineLevel="0" collapsed="false">
      <c r="A12" s="5" t="s">
        <v>12</v>
      </c>
      <c r="B12" s="5" t="s">
        <v>41</v>
      </c>
      <c r="C12" s="5" t="s">
        <v>22</v>
      </c>
      <c r="D12" s="10" t="n">
        <f aca="false">IF($B12="Express",INDEX('Rate card'!$D$6:$D$8,MATCH($A12,'Rate card'!$A$6:$A$8,0)),INDEX('Rate card'!$C$6:$C$8,MATCH($A12,'Rate card'!$A$6:$A$8,0)))</f>
        <v>3000</v>
      </c>
      <c r="E12" s="10" t="n">
        <f aca="false">INDEX('Rate card'!$C$13:$C$15,MATCH($C12,'Rate card'!$A$13:$A$15,0))</f>
        <v>600</v>
      </c>
      <c r="F12" s="10" t="n">
        <f aca="false">'Rate card'!$B$20</f>
        <v>250</v>
      </c>
      <c r="G12" s="14" t="n">
        <f aca="false">SUM(D12:F12)</f>
        <v>3850</v>
      </c>
      <c r="H12" s="10" t="n">
        <f aca="false">ROUND((D12+E12)*'Rate card'!$B$22,0)</f>
        <v>2880</v>
      </c>
    </row>
    <row r="13" customFormat="false" ht="15" hidden="false" customHeight="false" outlineLevel="0" collapsed="false">
      <c r="A13" s="5" t="s">
        <v>12</v>
      </c>
      <c r="B13" s="5" t="s">
        <v>41</v>
      </c>
      <c r="C13" s="5" t="s">
        <v>24</v>
      </c>
      <c r="D13" s="10" t="n">
        <f aca="false">IF($B13="Express",INDEX('Rate card'!$D$6:$D$8,MATCH($A13,'Rate card'!$A$6:$A$8,0)),INDEX('Rate card'!$C$6:$C$8,MATCH($A13,'Rate card'!$A$6:$A$8,0)))</f>
        <v>3000</v>
      </c>
      <c r="E13" s="10" t="n">
        <f aca="false">INDEX('Rate card'!$C$13:$C$15,MATCH($C13,'Rate card'!$A$13:$A$15,0))</f>
        <v>1600</v>
      </c>
      <c r="F13" s="10" t="n">
        <f aca="false">'Rate card'!$B$20</f>
        <v>250</v>
      </c>
      <c r="G13" s="14" t="n">
        <f aca="false">SUM(D13:F13)</f>
        <v>4850</v>
      </c>
      <c r="H13" s="10" t="n">
        <f aca="false">ROUND((D13+E13)*'Rate card'!$B$22,0)</f>
        <v>3680</v>
      </c>
    </row>
    <row r="14" customFormat="false" ht="15" hidden="false" customHeight="false" outlineLevel="0" collapsed="false">
      <c r="A14" s="5" t="s">
        <v>12</v>
      </c>
      <c r="B14" s="5" t="s">
        <v>62</v>
      </c>
      <c r="C14" s="5" t="s">
        <v>20</v>
      </c>
      <c r="D14" s="10" t="n">
        <f aca="false">IF($B14="Express",INDEX('Rate card'!$D$6:$D$8,MATCH($A14,'Rate card'!$A$6:$A$8,0)),INDEX('Rate card'!$C$6:$C$8,MATCH($A14,'Rate card'!$A$6:$A$8,0)))</f>
        <v>4600</v>
      </c>
      <c r="E14" s="10" t="n">
        <f aca="false">INDEX('Rate card'!$C$13:$C$15,MATCH($C14,'Rate card'!$A$13:$A$15,0))</f>
        <v>0</v>
      </c>
      <c r="F14" s="10" t="n">
        <f aca="false">'Rate card'!$B$20</f>
        <v>250</v>
      </c>
      <c r="G14" s="14" t="n">
        <f aca="false">SUM(D14:F14)</f>
        <v>4850</v>
      </c>
      <c r="H14" s="10" t="n">
        <f aca="false">ROUND((D14+E14)*'Rate card'!$B$22,0)</f>
        <v>3680</v>
      </c>
    </row>
    <row r="15" customFormat="false" ht="15" hidden="false" customHeight="false" outlineLevel="0" collapsed="false">
      <c r="A15" s="5" t="s">
        <v>12</v>
      </c>
      <c r="B15" s="5" t="s">
        <v>62</v>
      </c>
      <c r="C15" s="5" t="s">
        <v>22</v>
      </c>
      <c r="D15" s="10" t="n">
        <f aca="false">IF($B15="Express",INDEX('Rate card'!$D$6:$D$8,MATCH($A15,'Rate card'!$A$6:$A$8,0)),INDEX('Rate card'!$C$6:$C$8,MATCH($A15,'Rate card'!$A$6:$A$8,0)))</f>
        <v>4600</v>
      </c>
      <c r="E15" s="10" t="n">
        <f aca="false">INDEX('Rate card'!$C$13:$C$15,MATCH($C15,'Rate card'!$A$13:$A$15,0))</f>
        <v>600</v>
      </c>
      <c r="F15" s="10" t="n">
        <f aca="false">'Rate card'!$B$20</f>
        <v>250</v>
      </c>
      <c r="G15" s="14" t="n">
        <f aca="false">SUM(D15:F15)</f>
        <v>5450</v>
      </c>
      <c r="H15" s="10" t="n">
        <f aca="false">ROUND((D15+E15)*'Rate card'!$B$22,0)</f>
        <v>4160</v>
      </c>
    </row>
    <row r="16" customFormat="false" ht="15" hidden="false" customHeight="false" outlineLevel="0" collapsed="false">
      <c r="A16" s="5" t="s">
        <v>12</v>
      </c>
      <c r="B16" s="5" t="s">
        <v>62</v>
      </c>
      <c r="C16" s="5" t="s">
        <v>24</v>
      </c>
      <c r="D16" s="10" t="n">
        <f aca="false">IF($B16="Express",INDEX('Rate card'!$D$6:$D$8,MATCH($A16,'Rate card'!$A$6:$A$8,0)),INDEX('Rate card'!$C$6:$C$8,MATCH($A16,'Rate card'!$A$6:$A$8,0)))</f>
        <v>4600</v>
      </c>
      <c r="E16" s="10" t="n">
        <f aca="false">INDEX('Rate card'!$C$13:$C$15,MATCH($C16,'Rate card'!$A$13:$A$15,0))</f>
        <v>1600</v>
      </c>
      <c r="F16" s="10" t="n">
        <f aca="false">'Rate card'!$B$20</f>
        <v>250</v>
      </c>
      <c r="G16" s="14" t="n">
        <f aca="false">SUM(D16:F16)</f>
        <v>6450</v>
      </c>
      <c r="H16" s="10" t="n">
        <f aca="false">ROUND((D16+E16)*'Rate card'!$B$22,0)</f>
        <v>4960</v>
      </c>
    </row>
    <row r="17" customFormat="false" ht="15" hidden="false" customHeight="false" outlineLevel="0" collapsed="false">
      <c r="A17" s="5" t="s">
        <v>14</v>
      </c>
      <c r="B17" s="5" t="s">
        <v>41</v>
      </c>
      <c r="C17" s="5" t="s">
        <v>20</v>
      </c>
      <c r="D17" s="10" t="n">
        <f aca="false">IF($B17="Express",INDEX('Rate card'!$D$6:$D$8,MATCH($A17,'Rate card'!$A$6:$A$8,0)),INDEX('Rate card'!$C$6:$C$8,MATCH($A17,'Rate card'!$A$6:$A$8,0)))</f>
        <v>4800</v>
      </c>
      <c r="E17" s="10" t="n">
        <f aca="false">INDEX('Rate card'!$C$13:$C$15,MATCH($C17,'Rate card'!$A$13:$A$15,0))</f>
        <v>0</v>
      </c>
      <c r="F17" s="10" t="n">
        <f aca="false">'Rate card'!$B$20</f>
        <v>250</v>
      </c>
      <c r="G17" s="14" t="n">
        <f aca="false">SUM(D17:F17)</f>
        <v>5050</v>
      </c>
      <c r="H17" s="10" t="n">
        <f aca="false">ROUND((D17+E17)*'Rate card'!$B$22,0)</f>
        <v>3840</v>
      </c>
    </row>
    <row r="18" customFormat="false" ht="15" hidden="false" customHeight="false" outlineLevel="0" collapsed="false">
      <c r="A18" s="5" t="s">
        <v>14</v>
      </c>
      <c r="B18" s="5" t="s">
        <v>41</v>
      </c>
      <c r="C18" s="5" t="s">
        <v>22</v>
      </c>
      <c r="D18" s="10" t="n">
        <f aca="false">IF($B18="Express",INDEX('Rate card'!$D$6:$D$8,MATCH($A18,'Rate card'!$A$6:$A$8,0)),INDEX('Rate card'!$C$6:$C$8,MATCH($A18,'Rate card'!$A$6:$A$8,0)))</f>
        <v>4800</v>
      </c>
      <c r="E18" s="10" t="n">
        <f aca="false">INDEX('Rate card'!$C$13:$C$15,MATCH($C18,'Rate card'!$A$13:$A$15,0))</f>
        <v>600</v>
      </c>
      <c r="F18" s="10" t="n">
        <f aca="false">'Rate card'!$B$20</f>
        <v>250</v>
      </c>
      <c r="G18" s="14" t="n">
        <f aca="false">SUM(D18:F18)</f>
        <v>5650</v>
      </c>
      <c r="H18" s="10" t="n">
        <f aca="false">ROUND((D18+E18)*'Rate card'!$B$22,0)</f>
        <v>4320</v>
      </c>
    </row>
    <row r="19" customFormat="false" ht="15" hidden="false" customHeight="false" outlineLevel="0" collapsed="false">
      <c r="A19" s="5" t="s">
        <v>14</v>
      </c>
      <c r="B19" s="5" t="s">
        <v>41</v>
      </c>
      <c r="C19" s="5" t="s">
        <v>24</v>
      </c>
      <c r="D19" s="10" t="n">
        <f aca="false">IF($B19="Express",INDEX('Rate card'!$D$6:$D$8,MATCH($A19,'Rate card'!$A$6:$A$8,0)),INDEX('Rate card'!$C$6:$C$8,MATCH($A19,'Rate card'!$A$6:$A$8,0)))</f>
        <v>4800</v>
      </c>
      <c r="E19" s="10" t="n">
        <f aca="false">INDEX('Rate card'!$C$13:$C$15,MATCH($C19,'Rate card'!$A$13:$A$15,0))</f>
        <v>1600</v>
      </c>
      <c r="F19" s="10" t="n">
        <f aca="false">'Rate card'!$B$20</f>
        <v>250</v>
      </c>
      <c r="G19" s="14" t="n">
        <f aca="false">SUM(D19:F19)</f>
        <v>6650</v>
      </c>
      <c r="H19" s="10" t="n">
        <f aca="false">ROUND((D19+E19)*'Rate card'!$B$22,0)</f>
        <v>5120</v>
      </c>
    </row>
    <row r="20" customFormat="false" ht="15" hidden="false" customHeight="false" outlineLevel="0" collapsed="false">
      <c r="A20" s="5" t="s">
        <v>14</v>
      </c>
      <c r="B20" s="5" t="s">
        <v>62</v>
      </c>
      <c r="C20" s="5" t="s">
        <v>20</v>
      </c>
      <c r="D20" s="10" t="n">
        <f aca="false">IF($B20="Express",INDEX('Rate card'!$D$6:$D$8,MATCH($A20,'Rate card'!$A$6:$A$8,0)),INDEX('Rate card'!$C$6:$C$8,MATCH($A20,'Rate card'!$A$6:$A$8,0)))</f>
        <v>7200</v>
      </c>
      <c r="E20" s="10" t="n">
        <f aca="false">INDEX('Rate card'!$C$13:$C$15,MATCH($C20,'Rate card'!$A$13:$A$15,0))</f>
        <v>0</v>
      </c>
      <c r="F20" s="10" t="n">
        <f aca="false">'Rate card'!$B$20</f>
        <v>250</v>
      </c>
      <c r="G20" s="14" t="n">
        <f aca="false">SUM(D20:F20)</f>
        <v>7450</v>
      </c>
      <c r="H20" s="10" t="n">
        <f aca="false">ROUND((D20+E20)*'Rate card'!$B$22,0)</f>
        <v>5760</v>
      </c>
    </row>
    <row r="21" customFormat="false" ht="15" hidden="false" customHeight="false" outlineLevel="0" collapsed="false">
      <c r="A21" s="5" t="s">
        <v>14</v>
      </c>
      <c r="B21" s="5" t="s">
        <v>62</v>
      </c>
      <c r="C21" s="5" t="s">
        <v>22</v>
      </c>
      <c r="D21" s="10" t="n">
        <f aca="false">IF($B21="Express",INDEX('Rate card'!$D$6:$D$8,MATCH($A21,'Rate card'!$A$6:$A$8,0)),INDEX('Rate card'!$C$6:$C$8,MATCH($A21,'Rate card'!$A$6:$A$8,0)))</f>
        <v>7200</v>
      </c>
      <c r="E21" s="10" t="n">
        <f aca="false">INDEX('Rate card'!$C$13:$C$15,MATCH($C21,'Rate card'!$A$13:$A$15,0))</f>
        <v>600</v>
      </c>
      <c r="F21" s="10" t="n">
        <f aca="false">'Rate card'!$B$20</f>
        <v>250</v>
      </c>
      <c r="G21" s="14" t="n">
        <f aca="false">SUM(D21:F21)</f>
        <v>8050</v>
      </c>
      <c r="H21" s="10" t="n">
        <f aca="false">ROUND((D21+E21)*'Rate card'!$B$22,0)</f>
        <v>6240</v>
      </c>
    </row>
    <row r="22" customFormat="false" ht="15" hidden="false" customHeight="false" outlineLevel="0" collapsed="false">
      <c r="A22" s="5" t="s">
        <v>14</v>
      </c>
      <c r="B22" s="5" t="s">
        <v>62</v>
      </c>
      <c r="C22" s="5" t="s">
        <v>24</v>
      </c>
      <c r="D22" s="10" t="n">
        <f aca="false">IF($B22="Express",INDEX('Rate card'!$D$6:$D$8,MATCH($A22,'Rate card'!$A$6:$A$8,0)),INDEX('Rate card'!$C$6:$C$8,MATCH($A22,'Rate card'!$A$6:$A$8,0)))</f>
        <v>7200</v>
      </c>
      <c r="E22" s="10" t="n">
        <f aca="false">INDEX('Rate card'!$C$13:$C$15,MATCH($C22,'Rate card'!$A$13:$A$15,0))</f>
        <v>1600</v>
      </c>
      <c r="F22" s="10" t="n">
        <f aca="false">'Rate card'!$B$20</f>
        <v>250</v>
      </c>
      <c r="G22" s="14" t="n">
        <f aca="false">SUM(D22:F22)</f>
        <v>9050</v>
      </c>
      <c r="H22" s="10" t="n">
        <f aca="false">ROUND((D22+E22)*'Rate card'!$B$22,0)</f>
        <v>7040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90"/>
  </cols>
  <sheetData>
    <row r="1" customFormat="false" ht="19.7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4" customFormat="false" ht="15" hidden="false" customHeight="false" outlineLevel="0" collapsed="false">
      <c r="A4" s="4" t="s">
        <v>65</v>
      </c>
      <c r="B4" s="4" t="s">
        <v>66</v>
      </c>
      <c r="C4" s="4" t="s">
        <v>67</v>
      </c>
    </row>
    <row r="5" customFormat="false" ht="15" hidden="false" customHeight="false" outlineLevel="0" collapsed="false">
      <c r="A5" s="15" t="s">
        <v>68</v>
      </c>
      <c r="B5" s="16" t="s">
        <v>69</v>
      </c>
      <c r="C5" s="15" t="s">
        <v>70</v>
      </c>
    </row>
    <row r="6" customFormat="false" ht="23.85" hidden="false" customHeight="false" outlineLevel="0" collapsed="false">
      <c r="A6" s="15" t="s">
        <v>68</v>
      </c>
      <c r="B6" s="16" t="s">
        <v>71</v>
      </c>
      <c r="C6" s="15" t="s">
        <v>72</v>
      </c>
    </row>
    <row r="7" customFormat="false" ht="15" hidden="false" customHeight="false" outlineLevel="0" collapsed="false">
      <c r="A7" s="15" t="s">
        <v>68</v>
      </c>
      <c r="B7" s="16" t="s">
        <v>73</v>
      </c>
      <c r="C7" s="15" t="s">
        <v>74</v>
      </c>
    </row>
    <row r="8" customFormat="false" ht="15" hidden="false" customHeight="false" outlineLevel="0" collapsed="false">
      <c r="A8" s="15" t="s">
        <v>68</v>
      </c>
      <c r="B8" s="16" t="s">
        <v>75</v>
      </c>
      <c r="C8" s="15" t="s">
        <v>76</v>
      </c>
    </row>
    <row r="9" customFormat="false" ht="15" hidden="false" customHeight="false" outlineLevel="0" collapsed="false">
      <c r="A9" s="15" t="s">
        <v>68</v>
      </c>
      <c r="B9" s="16" t="s">
        <v>42</v>
      </c>
      <c r="C9" s="15" t="s">
        <v>77</v>
      </c>
    </row>
    <row r="10" customFormat="false" ht="15" hidden="false" customHeight="false" outlineLevel="0" collapsed="false">
      <c r="A10" s="15" t="s">
        <v>68</v>
      </c>
      <c r="B10" s="16" t="s">
        <v>78</v>
      </c>
      <c r="C10" s="15" t="s">
        <v>79</v>
      </c>
    </row>
    <row r="11" customFormat="false" ht="15" hidden="false" customHeight="false" outlineLevel="0" collapsed="false">
      <c r="A11" s="15" t="s">
        <v>68</v>
      </c>
      <c r="B11" s="16" t="s">
        <v>80</v>
      </c>
      <c r="C11" s="15" t="s">
        <v>81</v>
      </c>
    </row>
    <row r="12" customFormat="false" ht="15" hidden="false" customHeight="false" outlineLevel="0" collapsed="false">
      <c r="A12" s="15" t="s">
        <v>68</v>
      </c>
      <c r="B12" s="16" t="s">
        <v>82</v>
      </c>
      <c r="C12" s="15" t="s">
        <v>83</v>
      </c>
    </row>
    <row r="13" customFormat="false" ht="15" hidden="false" customHeight="false" outlineLevel="0" collapsed="false">
      <c r="A13" s="15" t="s">
        <v>68</v>
      </c>
      <c r="B13" s="16" t="s">
        <v>84</v>
      </c>
      <c r="C13" s="15" t="s">
        <v>85</v>
      </c>
    </row>
    <row r="14" customFormat="false" ht="15" hidden="false" customHeight="false" outlineLevel="0" collapsed="false">
      <c r="A14" s="15" t="s">
        <v>68</v>
      </c>
      <c r="B14" s="16" t="s">
        <v>86</v>
      </c>
      <c r="C14" s="15" t="s">
        <v>87</v>
      </c>
    </row>
    <row r="15" customFormat="false" ht="15" hidden="false" customHeight="false" outlineLevel="0" collapsed="false">
      <c r="A15" s="15" t="s">
        <v>68</v>
      </c>
      <c r="B15" s="16" t="s">
        <v>88</v>
      </c>
      <c r="C15" s="15" t="s">
        <v>89</v>
      </c>
    </row>
    <row r="16" customFormat="false" ht="15" hidden="false" customHeight="false" outlineLevel="0" collapsed="false">
      <c r="A16" s="15" t="s">
        <v>68</v>
      </c>
      <c r="B16" s="16" t="s">
        <v>90</v>
      </c>
      <c r="C16" s="15" t="s">
        <v>91</v>
      </c>
    </row>
    <row r="17" customFormat="false" ht="15" hidden="false" customHeight="false" outlineLevel="0" collapsed="false">
      <c r="A17" s="15" t="s">
        <v>68</v>
      </c>
      <c r="B17" s="16" t="s">
        <v>92</v>
      </c>
      <c r="C17" s="15" t="s">
        <v>93</v>
      </c>
    </row>
    <row r="18" customFormat="false" ht="15" hidden="false" customHeight="false" outlineLevel="0" collapsed="false">
      <c r="A18" s="15" t="s">
        <v>68</v>
      </c>
      <c r="B18" s="16" t="s">
        <v>94</v>
      </c>
      <c r="C18" s="15" t="s">
        <v>95</v>
      </c>
    </row>
    <row r="19" customFormat="false" ht="15" hidden="false" customHeight="false" outlineLevel="0" collapsed="false">
      <c r="A19" s="15" t="s">
        <v>68</v>
      </c>
      <c r="B19" s="16" t="s">
        <v>96</v>
      </c>
      <c r="C19" s="15" t="s">
        <v>97</v>
      </c>
    </row>
    <row r="20" customFormat="false" ht="15" hidden="false" customHeight="false" outlineLevel="0" collapsed="false">
      <c r="A20" s="15" t="s">
        <v>98</v>
      </c>
      <c r="B20" s="16" t="s">
        <v>69</v>
      </c>
      <c r="C20" s="15" t="s">
        <v>99</v>
      </c>
    </row>
    <row r="21" customFormat="false" ht="15" hidden="false" customHeight="false" outlineLevel="0" collapsed="false">
      <c r="A21" s="15" t="s">
        <v>98</v>
      </c>
      <c r="B21" s="16" t="s">
        <v>100</v>
      </c>
      <c r="C21" s="15" t="s">
        <v>101</v>
      </c>
    </row>
    <row r="22" customFormat="false" ht="15" hidden="false" customHeight="false" outlineLevel="0" collapsed="false">
      <c r="A22" s="15" t="s">
        <v>98</v>
      </c>
      <c r="B22" s="16" t="s">
        <v>102</v>
      </c>
      <c r="C22" s="15" t="s">
        <v>103</v>
      </c>
    </row>
    <row r="23" customFormat="false" ht="15" hidden="false" customHeight="false" outlineLevel="0" collapsed="false">
      <c r="A23" s="15" t="s">
        <v>98</v>
      </c>
      <c r="B23" s="16" t="s">
        <v>104</v>
      </c>
      <c r="C23" s="15" t="s">
        <v>105</v>
      </c>
    </row>
    <row r="24" customFormat="false" ht="15" hidden="false" customHeight="false" outlineLevel="0" collapsed="false">
      <c r="A24" s="15" t="s">
        <v>98</v>
      </c>
      <c r="B24" s="16" t="s">
        <v>106</v>
      </c>
      <c r="C24" s="15" t="s">
        <v>107</v>
      </c>
    </row>
    <row r="25" customFormat="false" ht="15" hidden="false" customHeight="false" outlineLevel="0" collapsed="false">
      <c r="A25" s="15" t="s">
        <v>98</v>
      </c>
      <c r="B25" s="16" t="s">
        <v>108</v>
      </c>
      <c r="C25" s="15" t="s">
        <v>109</v>
      </c>
    </row>
    <row r="26" customFormat="false" ht="15" hidden="false" customHeight="false" outlineLevel="0" collapsed="false">
      <c r="A26" s="15" t="s">
        <v>98</v>
      </c>
      <c r="B26" s="16" t="s">
        <v>110</v>
      </c>
      <c r="C26" s="15" t="s">
        <v>111</v>
      </c>
    </row>
    <row r="27" customFormat="false" ht="15" hidden="false" customHeight="false" outlineLevel="0" collapsed="false">
      <c r="A27" s="15" t="s">
        <v>98</v>
      </c>
      <c r="B27" s="16" t="s">
        <v>112</v>
      </c>
      <c r="C27" s="15" t="s">
        <v>113</v>
      </c>
    </row>
    <row r="28" customFormat="false" ht="15" hidden="false" customHeight="false" outlineLevel="0" collapsed="false">
      <c r="A28" s="15" t="s">
        <v>114</v>
      </c>
      <c r="B28" s="16" t="s">
        <v>115</v>
      </c>
      <c r="C28" s="15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2026-10-10T02:05:51Z</dcterms:created>
  <dc:creator>openpyxl</dc:creator>
  <dc:description/>
  <dc:language>en-US</dc:language>
  <cp:lastModifiedBy/>
  <dcterms:modified xsi:type="dcterms:W3CDTF">2026-10-10T02:05:51Z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